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Castrod\Downloads\task-3\"/>
    </mc:Choice>
  </mc:AlternateContent>
  <xr:revisionPtr revIDLastSave="0" documentId="13_ncr:1_{73249948-6FD0-493E-96DA-52F4505BC4DB}" xr6:coauthVersionLast="47" xr6:coauthVersionMax="47" xr10:uidLastSave="{00000000-0000-0000-0000-000000000000}"/>
  <bookViews>
    <workbookView xWindow="-19310" yWindow="760" windowWidth="19420" windowHeight="11500" tabRatio="839" activeTab="2" xr2:uid="{00000000-000D-0000-FFFF-FFFF00000000}"/>
  </bookViews>
  <sheets>
    <sheet name="Dataset" sheetId="1" r:id="rId1"/>
    <sheet name="Analysis" sheetId="9" r:id="rId2"/>
    <sheet name="Supplier Performanc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0" l="1"/>
  <c r="F8" i="10"/>
  <c r="F7" i="10"/>
  <c r="F6" i="10"/>
  <c r="F5" i="10"/>
  <c r="E9" i="10" a="1"/>
  <c r="E9" i="10" s="1"/>
  <c r="E8" i="10" a="1"/>
  <c r="E8" i="10" s="1"/>
  <c r="E7" i="10" a="1"/>
  <c r="E7" i="10" s="1"/>
  <c r="E6" i="10" a="1"/>
  <c r="E6" i="10" s="1"/>
  <c r="E5" i="10" a="1"/>
  <c r="E5" i="10" s="1"/>
  <c r="D9" i="10"/>
  <c r="D8" i="10"/>
  <c r="D7" i="10"/>
  <c r="D6" i="10"/>
  <c r="D5" i="10"/>
  <c r="C9" i="10"/>
  <c r="C8" i="10"/>
  <c r="C7" i="10"/>
  <c r="C6" i="10"/>
  <c r="C5" i="10"/>
  <c r="Q4" i="9"/>
  <c r="Q3" i="9"/>
  <c r="Q2" i="9"/>
  <c r="P4" i="9"/>
  <c r="P3" i="9"/>
  <c r="P2" i="9"/>
  <c r="M4" i="9"/>
  <c r="M3" i="9"/>
  <c r="M2" i="9"/>
  <c r="L4" i="9"/>
  <c r="L3" i="9"/>
  <c r="L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<sst xmlns="http://schemas.openxmlformats.org/spreadsheetml/2006/main" count="307" uniqueCount="140">
  <si>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</si>
  <si>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</si>
  <si>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</si>
  <si>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</si>
  <si>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</si>
  <si>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</si>
  <si>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</si>
  <si>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</si>
  <si>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</si>
  <si>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</si>
  <si>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</si>
  <si>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</si>
  <si>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</si>
  <si>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</si>
  <si>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</si>
  <si>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</si>
  <si>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</si>
  <si>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</si>
  <si>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</si>
  <si>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</si>
  <si>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</si>
  <si>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</si>
  <si>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</si>
  <si>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</si>
  <si>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</si>
  <si>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</si>
  <si>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</si>
  <si>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</si>
  <si>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</si>
  <si>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</si>
  <si>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</si>
  <si>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</si>
  <si>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</si>
  <si>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</si>
  <si>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</si>
  <si>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</si>
  <si>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</si>
  <si>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</si>
  <si>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</si>
  <si>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</si>
  <si>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</si>
  <si>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</si>
  <si>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</si>
  <si>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</si>
  <si>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</si>
  <si>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</si>
  <si>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</si>
  <si>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</si>
  <si>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</si>
  <si>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</si>
  <si>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</si>
  <si>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</si>
  <si>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</si>
  <si>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</si>
  <si>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</si>
  <si>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</si>
  <si>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</si>
  <si>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</si>
  <si>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</si>
  <si>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</si>
  <si>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</si>
  <si>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</si>
  <si>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</si>
  <si>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</si>
  <si>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</si>
  <si>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</si>
  <si>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</si>
  <si>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</si>
  <si>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</si>
  <si>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</si>
  <si>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</si>
  <si>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</si>
  <si>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</si>
  <si>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</si>
  <si>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</si>
  <si>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</si>
  <si>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</si>
  <si>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</si>
  <si>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</si>
  <si>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</si>
  <si>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</si>
  <si>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</si>
  <si>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</si>
  <si>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</si>
  <si>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</si>
  <si>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</si>
  <si>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</si>
  <si>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</si>
  <si>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</si>
  <si>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</si>
  <si>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</si>
  <si>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</si>
  <si>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</si>
  <si>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</si>
  <si>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</si>
  <si>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</si>
  <si>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</si>
  <si>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</si>
  <si>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</si>
  <si>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</si>
  <si>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</si>
  <si>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</si>
  <si>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</si>
  <si>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</si>
  <si>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</si>
  <si>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</si>
  <si>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</si>
  <si>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</si>
  <si>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</si>
  <si>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</si>
  <si>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</si>
  <si>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</si>
  <si>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</si>
  <si>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</si>
  <si>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</si>
  <si>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</si>
  <si>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</si>
  <si>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</si>
  <si>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</si>
  <si>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</si>
  <si>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</si>
  <si>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</si>
  <si>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</si>
  <si>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</si>
  <si>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Component</t>
  </si>
  <si>
    <t>Supplier</t>
  </si>
  <si>
    <t xml:space="preserve">Supply Chain Receipt Date </t>
  </si>
  <si>
    <t>Delivery Timeline</t>
  </si>
  <si>
    <t>Issue Summary</t>
  </si>
  <si>
    <t>Supplier Analysis</t>
  </si>
  <si>
    <t>Risk Factors</t>
  </si>
  <si>
    <t>Component Specific Changes</t>
  </si>
  <si>
    <t>Average Delivery Timeline (Days)</t>
  </si>
  <si>
    <t>Record Count</t>
  </si>
  <si>
    <t>On-Time Delivery Rate</t>
  </si>
  <si>
    <t>Supplier Performance Breakdown</t>
  </si>
  <si>
    <t>Ranked by lowest average delivery time; ties by highest on-time delivery rate.</t>
  </si>
  <si>
    <t>Rank</t>
  </si>
  <si>
    <t>Average Delivery Time (Days)</t>
  </si>
  <si>
    <t>Associated 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</si>
</sst>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.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Font="1"/>
    <xf numFmtId="0" fontId="1" fillId="0" borderId="1" xfId="0" applyFont="1" applyBorder="1" applyAlignment="1">
      <alignment horizontal="center" vertical="top" wrapText="1"/>
    </xf>
    <xf numFmtId="16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4" fillId="0" borderId="0" xfId="0" applyFont="1"/>
    <xf numFmtId="0" fontId="0" fillId="0" borderId="1" xfId="0" applyBorder="1" applyAlignment="1">
      <alignment horizontal="center"/>
    </xf>
    <xf numFmtId="0" fontId="5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Delivery Timeline by 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Analysis!$L$1</c:f>
              <c:strCache>
                <c:ptCount val="1"/>
                <c:pt idx="0">
                  <c:v>Average Delivery Timeline (Days)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Analysis!$K$2:$K$4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Analysis!$L$2:$L$4</c:f>
              <c:numCache>
                <c:formatCode>0.0</c:formatCode>
                <c:ptCount val="3"/>
                <c:pt idx="0">
                  <c:v>11.25</c:v>
                </c:pt>
                <c:pt idx="1">
                  <c:v>15.125</c:v>
                </c:pt>
                <c:pt idx="2">
                  <c:v>12.857142857142858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6-43B2-B901-7666F3B0A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302143"/>
        <c:axId val="410303103"/>
      </c:barChart>
      <c:catAx>
        <c:axId val="41030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03103"/>
        <c:crosses val="autoZero"/>
        <c:auto val="1"/>
        <c:lblAlgn val="ctr"/>
        <c:lblOffset val="100"/>
        <c:noMultiLvlLbl val="0"/>
      </c:catAx>
      <c:valAx>
        <c:axId val="41030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Delivery Time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'Supplier Performance'!$C$4</c:f>
              <c:strCache>
                <c:ptCount val="1"/>
                <c:pt idx="0">
                  <c:v>Average Delivery Time (Days)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Performance'!$B$5:$B$9</c:f>
              <c:strCache>
                <c:ptCount val="5"/>
                <c:pt idx="0">
                  <c:v>NextGen Pharma</c:v>
                </c:pt>
                <c:pt idx="1">
                  <c:v>PrimeLogistics</c:v>
                </c:pt>
                <c:pt idx="2">
                  <c:v>RawMatPlus</c:v>
                </c:pt>
                <c:pt idx="3">
                  <c:v>EcoSupply</c:v>
                </c:pt>
                <c:pt idx="4">
                  <c:v>GlobalChem</c:v>
                </c:pt>
              </c:strCache>
            </c:strRef>
          </c:cat>
          <c:val>
            <c:numRef>
              <c:f>'Supplier Performance'!$C$5:$C$9</c:f>
              <c:numCache>
                <c:formatCode>0.0</c:formatCode>
                <c:ptCount val="5"/>
                <c:pt idx="0">
                  <c:v>10.727272727272727</c:v>
                </c:pt>
                <c:pt idx="1">
                  <c:v>11</c:v>
                </c:pt>
                <c:pt idx="2">
                  <c:v>14.23076923076923</c:v>
                </c:pt>
                <c:pt idx="3">
                  <c:v>15</c:v>
                </c:pt>
                <c:pt idx="4">
                  <c:v>16.444444444444443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0-4224-9F08-7D1E2476B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904416"/>
        <c:axId val="1190905376"/>
      </c:barChart>
      <c:catAx>
        <c:axId val="119090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05376"/>
        <c:crosses val="autoZero"/>
        <c:auto val="1"/>
        <c:lblAlgn val="ctr"/>
        <c:lblOffset val="100"/>
        <c:noMultiLvlLbl val="0"/>
      </c:catAx>
      <c:valAx>
        <c:axId val="11909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0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AvgDeliveryByRiskChart">
          <a:extLst>
            <a:ext uri="{FF2B5EF4-FFF2-40B4-BE49-F238E27FC236}">
              <a16:creationId xmlns:a16="http://schemas.microsoft.com/office/drawing/2014/main" id="{B90A4722-C861-1E53-924C-8D3F14A41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SupplierPerformanceChart">
          <a:extLst>
            <a:ext uri="{FF2B5EF4-FFF2-40B4-BE49-F238E27FC236}">
              <a16:creationId xmlns:a16="http://schemas.microsoft.com/office/drawing/2014/main" id="{A5EE0D7F-8A61-1B3D-8BDE-DD6D2DC43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opLeftCell="D1" workbookViewId="0">
      <selection activeCell="J12" sqref="J12"/>
    </sheetView>
  </sheetViews>
  <sheetFormatPr defaultColWidth="13" defaultRowHeight="14.5" x14ac:dyDescent="0.35"/>
  <cols>
    <col min="4" max="4" width="13" style="1"/>
  </cols>
  <sheetData>
    <row r="1" spans="1:20" s="4" customFormat="1" ht="43.5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35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35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35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35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35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35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35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35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35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35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35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35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35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35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35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35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35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35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35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35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35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35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35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35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35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35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35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35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35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35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35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35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35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35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35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35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35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35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35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35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35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35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35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35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35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35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35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35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35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Q4"/>
  <sheetViews>
    <sheetView topLeftCell="J1" workbookViewId="0">
      <selection activeCell="E7" sqref="E7"/>
    </sheetView>
  </sheetViews>
  <sheetFormatPr defaultColWidth="8.81640625" defaultRowHeight="14.5" x14ac:dyDescent="0.35"/>
  <cols>
    <col min="1" max="1" width="10.7265625" bestFit="1" customWidth="1"/>
    <col min="2" max="2" width="7.6328125" bestFit="1" customWidth="1"/>
    <col min="3" max="3" width="23.36328125" bestFit="1" customWidth="1"/>
    <col min="4" max="4" width="8.81640625" bestFit="1" customWidth="1"/>
    <col min="5" max="5" width="15.1796875" bestFit="1" customWidth="1"/>
    <col min="6" max="6" width="13.54296875" style="4" bestFit="1" customWidth="1"/>
    <col min="7" max="7" width="14.90625" style="4" bestFit="1" customWidth="1"/>
    <col min="8" max="8" width="10.7265625" style="4" bestFit="1" customWidth="1"/>
    <col min="9" max="9" width="17.54296875" style="4" bestFit="1" customWidth="1"/>
    <col min="10" max="10" width="20.1796875" customWidth="1"/>
    <col min="11" max="11" width="8.81640625" bestFit="1" customWidth="1"/>
    <col min="12" max="12" width="28.36328125" bestFit="1" customWidth="1"/>
    <col min="13" max="13" width="12.1796875" bestFit="1" customWidth="1"/>
    <col min="15" max="15" width="10.7265625" bestFit="1" customWidth="1"/>
    <col min="16" max="16" width="19.6328125" bestFit="1" customWidth="1"/>
    <col min="17" max="17" width="12.1796875" bestFit="1" customWidth="1"/>
  </cols>
  <sheetData>
    <row r="1" spans="1:17" ht="29" x14ac:dyDescent="0.35">
      <c r="A1" s="6" t="s">
        <v>124</v>
      </c>
      <c r="B1" s="6" t="s">
        <v>125</v>
      </c>
      <c r="C1" s="6" t="s">
        <v>126</v>
      </c>
      <c r="D1" s="6" t="s">
        <v>4</v>
      </c>
      <c r="E1" s="6" t="s">
        <v>127</v>
      </c>
      <c r="F1" s="7" t="s">
        <v>128</v>
      </c>
      <c r="G1" s="7" t="s">
        <v>129</v>
      </c>
      <c r="H1" s="7" t="s">
        <v>130</v>
      </c>
      <c r="I1" s="7" t="s">
        <v>131</v>
      </c>
      <c r="K1" s="9" t="s">
        <v>4</v>
      </c>
      <c r="L1" s="9" t="s">
        <v>132</v>
      </c>
      <c r="M1" s="9" t="s">
        <v>133</v>
      </c>
      <c r="O1" s="9" t="s">
        <v>124</v>
      </c>
      <c r="P1" s="9" t="s">
        <v>134</v>
      </c>
      <c r="Q1" s="9" t="s">
        <v>133</v>
      </c>
    </row>
    <row r="2" spans="1:17" x14ac:dyDescent="0.35">
      <c r="A2" s="6" t="s">
        <v>21</v>
      </c>
      <c r="C2" s="5"/>
      <c r="K2" s="8" t="s">
        <v>69</v>
      </c>
      <c r="L2" s="10">
        <f>AVERAGEIF(Dataset!$E:$E,K2,Dataset!$C:$C)</f>
        <v>11.25</v>
      </c>
      <c r="M2" s="11">
        <f>COUNTIF(Dataset!$E:$E,K2)</f>
        <v>12</v>
      </c>
      <c r="O2" s="8" t="s">
        <v>20</v>
      </c>
      <c r="P2" s="12">
        <f>AVERAGEIF(Dataset!$A:$A,O2,Dataset!$P:$P)/100</f>
        <v>0.90249999999999997</v>
      </c>
      <c r="Q2" s="11">
        <f>COUNTIF(Dataset!$A:$A,O2)</f>
        <v>4</v>
      </c>
    </row>
    <row r="3" spans="1:17" x14ac:dyDescent="0.35">
      <c r="A3" s="6" t="s">
        <v>54</v>
      </c>
      <c r="C3" s="5"/>
      <c r="K3" s="8" t="s">
        <v>68</v>
      </c>
      <c r="L3" s="10">
        <f>AVERAGEIF(Dataset!$E:$E,K3,Dataset!$C:$C)</f>
        <v>15.125</v>
      </c>
      <c r="M3" s="11">
        <f>COUNTIF(Dataset!$E:$E,K3)</f>
        <v>24</v>
      </c>
      <c r="O3" s="8" t="s">
        <v>21</v>
      </c>
      <c r="P3" s="12">
        <f>AVERAGEIF(Dataset!$A:$A,O3,Dataset!$P:$P)/100</f>
        <v>0.99</v>
      </c>
      <c r="Q3" s="11">
        <f>COUNTIF(Dataset!$A:$A,O3)</f>
        <v>1</v>
      </c>
    </row>
    <row r="4" spans="1:17" x14ac:dyDescent="0.35">
      <c r="A4" s="6" t="s">
        <v>55</v>
      </c>
      <c r="C4" s="5"/>
      <c r="K4" s="8" t="s">
        <v>67</v>
      </c>
      <c r="L4" s="10">
        <f>AVERAGEIF(Dataset!$E:$E,K4,Dataset!$C:$C)</f>
        <v>12.857142857142858</v>
      </c>
      <c r="M4" s="11">
        <f>COUNTIF(Dataset!$E:$E,K4)</f>
        <v>14</v>
      </c>
      <c r="O4" s="8" t="s">
        <v>19</v>
      </c>
      <c r="P4" s="12">
        <f>AVERAGEIF(Dataset!$A:$A,O4,Dataset!$P:$P)/100</f>
        <v>0.84200000000000008</v>
      </c>
      <c r="Q4" s="11">
        <f>COUNTIF(Dataset!$A:$A,O4)</f>
        <v>5</v>
      </c>
    </row>
  </sheetData>
  <conditionalFormatting sqref="P2:P4">
    <cfRule type="cellIs" dxfId="3" priority="1" operator="lessThan">
      <formula>0.8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6DB2-39F6-4526-85B2-03CEB7C97DCC}">
  <dimension ref="A1:F9"/>
  <sheetViews>
    <sheetView tabSelected="1" workbookViewId="0">
      <selection activeCell="E12" sqref="E12"/>
    </sheetView>
  </sheetViews>
  <sheetFormatPr defaultRowHeight="14.5" x14ac:dyDescent="0.35"/>
  <cols>
    <col min="1" max="1" width="42.08984375" bestFit="1" customWidth="1"/>
    <col min="2" max="2" width="15" bestFit="1" customWidth="1"/>
    <col min="3" max="3" width="25.36328125" bestFit="1" customWidth="1"/>
    <col min="4" max="4" width="19.6328125" bestFit="1" customWidth="1"/>
    <col min="5" max="5" width="18.453125" bestFit="1" customWidth="1"/>
    <col min="6" max="6" width="12.1796875" bestFit="1" customWidth="1"/>
  </cols>
  <sheetData>
    <row r="1" spans="1:6" ht="21" x14ac:dyDescent="0.5">
      <c r="A1" s="13" t="s">
        <v>135</v>
      </c>
    </row>
    <row r="2" spans="1:6" ht="29" x14ac:dyDescent="0.35">
      <c r="A2" s="15" t="s">
        <v>136</v>
      </c>
      <c r="B2" s="4"/>
      <c r="C2" s="4"/>
      <c r="D2" s="4"/>
      <c r="E2" s="4"/>
      <c r="F2" s="4"/>
    </row>
    <row r="4" spans="1:6" x14ac:dyDescent="0.35">
      <c r="A4" s="9" t="s">
        <v>137</v>
      </c>
      <c r="B4" s="9" t="s">
        <v>125</v>
      </c>
      <c r="C4" s="9" t="s">
        <v>138</v>
      </c>
      <c r="D4" s="9" t="s">
        <v>134</v>
      </c>
      <c r="E4" s="9" t="s">
        <v>139</v>
      </c>
      <c r="F4" s="9" t="s">
        <v>133</v>
      </c>
    </row>
    <row r="5" spans="1:6" x14ac:dyDescent="0.35">
      <c r="A5" s="14">
        <v>1</v>
      </c>
      <c r="B5" s="8" t="s">
        <v>65</v>
      </c>
      <c r="C5" s="10">
        <f>AVERAGEIF(Dataset!$B:$B,B5,Dataset!$C:$C)</f>
        <v>10.727272727272727</v>
      </c>
      <c r="D5" s="12">
        <f>AVERAGEIF(Dataset!$B:$B,B5,Dataset!$P:$P)/100</f>
        <v>0.91545454545454552</v>
      </c>
      <c r="E5" s="8" t="str" cm="1">
        <f t="array" ref="E5">INDEX({"High","Medium","Low"},MATCH(MAX(COUNTIFS(Dataset!$B:$B,B5,Dataset!$E:$E,{"High","Medium","Low"})),COUNTIFS(Dataset!$B:$B,B5,Dataset!$E:$E,{"High","Medium","Low"}),0))</f>
        <v>Medium</v>
      </c>
      <c r="F5" s="11">
        <f>COUNTIF(Dataset!$B:$B,B5)</f>
        <v>11</v>
      </c>
    </row>
    <row r="6" spans="1:6" x14ac:dyDescent="0.35">
      <c r="A6" s="14">
        <v>2</v>
      </c>
      <c r="B6" s="8" t="s">
        <v>66</v>
      </c>
      <c r="C6" s="10">
        <f>AVERAGEIF(Dataset!$B:$B,B6,Dataset!$C:$C)</f>
        <v>11</v>
      </c>
      <c r="D6" s="12">
        <f>AVERAGEIF(Dataset!$B:$B,B6,Dataset!$P:$P)/100</f>
        <v>0.88</v>
      </c>
      <c r="E6" s="8" t="str" cm="1">
        <f t="array" ref="E6">INDEX({"High","Medium","Low"},MATCH(MAX(COUNTIFS(Dataset!$B:$B,B6,Dataset!$E:$E,{"High","Medium","Low"})),COUNTIFS(Dataset!$B:$B,B6,Dataset!$E:$E,{"High","Medium","Low"}),0))</f>
        <v>Medium</v>
      </c>
      <c r="F6" s="11">
        <f>COUNTIF(Dataset!$B:$B,B6)</f>
        <v>7</v>
      </c>
    </row>
    <row r="7" spans="1:6" x14ac:dyDescent="0.35">
      <c r="A7" s="14">
        <v>3</v>
      </c>
      <c r="B7" s="8" t="s">
        <v>63</v>
      </c>
      <c r="C7" s="10">
        <f>AVERAGEIF(Dataset!$B:$B,B7,Dataset!$C:$C)</f>
        <v>14.23076923076923</v>
      </c>
      <c r="D7" s="12">
        <f>AVERAGEIF(Dataset!$B:$B,B7,Dataset!$P:$P)/100</f>
        <v>0.90615384615384609</v>
      </c>
      <c r="E7" s="8" t="str" cm="1">
        <f t="array" ref="E7">INDEX({"High","Medium","Low"},MATCH(MAX(COUNTIFS(Dataset!$B:$B,B7,Dataset!$E:$E,{"High","Medium","Low"})),COUNTIFS(Dataset!$B:$B,B7,Dataset!$E:$E,{"High","Medium","Low"}),0))</f>
        <v>Low</v>
      </c>
      <c r="F7" s="11">
        <f>COUNTIF(Dataset!$B:$B,B7)</f>
        <v>13</v>
      </c>
    </row>
    <row r="8" spans="1:6" x14ac:dyDescent="0.35">
      <c r="A8" s="14">
        <v>4</v>
      </c>
      <c r="B8" s="8" t="s">
        <v>64</v>
      </c>
      <c r="C8" s="10">
        <f>AVERAGEIF(Dataset!$B:$B,B8,Dataset!$C:$C)</f>
        <v>15</v>
      </c>
      <c r="D8" s="12">
        <f>AVERAGEIF(Dataset!$B:$B,B8,Dataset!$P:$P)/100</f>
        <v>0.879</v>
      </c>
      <c r="E8" s="8" t="str" cm="1">
        <f t="array" ref="E8">INDEX({"High","Medium","Low"},MATCH(MAX(COUNTIFS(Dataset!$B:$B,B8,Dataset!$E:$E,{"High","Medium","Low"})),COUNTIFS(Dataset!$B:$B,B8,Dataset!$E:$E,{"High","Medium","Low"}),0))</f>
        <v>Medium</v>
      </c>
      <c r="F8" s="11">
        <f>COUNTIF(Dataset!$B:$B,B8)</f>
        <v>10</v>
      </c>
    </row>
    <row r="9" spans="1:6" x14ac:dyDescent="0.35">
      <c r="A9" s="14">
        <v>5</v>
      </c>
      <c r="B9" s="8" t="s">
        <v>62</v>
      </c>
      <c r="C9" s="10">
        <f>AVERAGEIF(Dataset!$B:$B,B9,Dataset!$C:$C)</f>
        <v>16.444444444444443</v>
      </c>
      <c r="D9" s="12">
        <f>AVERAGEIF(Dataset!$B:$B,B9,Dataset!$P:$P)/100</f>
        <v>0.90888888888888886</v>
      </c>
      <c r="E9" s="8" t="str" cm="1">
        <f t="array" ref="E9">INDEX({"High","Medium","Low"},MATCH(MAX(COUNTIFS(Dataset!$B:$B,B9,Dataset!$E:$E,{"High","Medium","Low"})),COUNTIFS(Dataset!$B:$B,B9,Dataset!$E:$E,{"High","Medium","Low"}),0))</f>
        <v>Medium</v>
      </c>
      <c r="F9" s="11">
        <f>COUNTIF(Dataset!$B:$B,B9)</f>
        <v>9</v>
      </c>
    </row>
  </sheetData>
  <conditionalFormatting sqref="E5:E9">
    <cfRule type="containsText" dxfId="2" priority="1" operator="containsText" text="High">
      <formula>NOT(ISERROR(SEARCH("High",E5)))</formula>
    </cfRule>
  </conditionalFormatting>
  <conditionalFormatting sqref="E5:E9">
    <cfRule type="containsText" dxfId="1" priority="2" operator="containsText" text="Medium">
      <formula>NOT(ISERROR(SEARCH("Medium",E5)))</formula>
    </cfRule>
  </conditionalFormatting>
  <conditionalFormatting sqref="E5:E9">
    <cfRule type="containsText" dxfId="0" priority="3" operator="containsText" text="Low">
      <formula>NOT(ISERROR(SEARCH("Low",E5)))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Analysis</vt:lpstr>
      <vt:lpstr>Supplier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Castro de matos, Esron [CONBR]</cp:lastModifiedBy>
  <dcterms:created xsi:type="dcterms:W3CDTF">2024-12-04T18:55:38Z</dcterms:created>
  <dcterms:modified xsi:type="dcterms:W3CDTF">2026-07-01T00:32:08Z</dcterms:modified>
</cp:coreProperties>
</file>